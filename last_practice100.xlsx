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00" windowWidth="19140" windowHeight="6590" activeTab="2"/>
  </bookViews>
  <sheets>
    <sheet name="last_practice" sheetId="1" r:id="rId1"/>
    <sheet name="Sheet1" sheetId="2" r:id="rId2"/>
    <sheet name="Sheet4" sheetId="5" r:id="rId3"/>
    <sheet name="Sheet3" sheetId="4" r:id="rId4"/>
  </sheets>
  <definedNames>
    <definedName name="Slicer_Region">#N/A</definedName>
  </definedNames>
  <calcPr calcId="0"/>
  <pivotCaches>
    <pivotCache cacheId="1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<sst xmlns="http://schemas.openxmlformats.org/spreadsheetml/2006/main" count="107" uniqueCount="52">
  <si>
    <t>Region</t>
  </si>
  <si>
    <t>Country</t>
  </si>
  <si>
    <t>Item Type</t>
  </si>
  <si>
    <t>Sales Channel</t>
  </si>
  <si>
    <t>Order Priority</t>
  </si>
  <si>
    <t>Order Date</t>
  </si>
  <si>
    <t>Order ID</t>
  </si>
  <si>
    <t>Ship Date</t>
  </si>
  <si>
    <t>Units Sold</t>
  </si>
  <si>
    <t>Unit Price</t>
  </si>
  <si>
    <t>Unit Cost</t>
  </si>
  <si>
    <t xml:space="preserve"> Total Revenue </t>
  </si>
  <si>
    <t>Asia</t>
  </si>
  <si>
    <t>Brunei</t>
  </si>
  <si>
    <t>Office Supplies</t>
  </si>
  <si>
    <t>Online</t>
  </si>
  <si>
    <t>L</t>
  </si>
  <si>
    <t>LOOKUP</t>
  </si>
  <si>
    <t>Australia and Oceania</t>
  </si>
  <si>
    <t>Australia</t>
  </si>
  <si>
    <t>Beverages</t>
  </si>
  <si>
    <t>Offline</t>
  </si>
  <si>
    <t>H</t>
  </si>
  <si>
    <t>Cereal</t>
  </si>
  <si>
    <t>C</t>
  </si>
  <si>
    <t>Central America and the Caribbean</t>
  </si>
  <si>
    <t>Angola</t>
  </si>
  <si>
    <t>Household</t>
  </si>
  <si>
    <t>M</t>
  </si>
  <si>
    <t>Europe</t>
  </si>
  <si>
    <t>Bulgaria</t>
  </si>
  <si>
    <t>Clothes</t>
  </si>
  <si>
    <t>Albania</t>
  </si>
  <si>
    <t>Middle East and North Africa</t>
  </si>
  <si>
    <t>Azerbaijan</t>
  </si>
  <si>
    <t xml:space="preserve"> £1,316,095.4 </t>
  </si>
  <si>
    <t>Sub-Saharan Africa</t>
  </si>
  <si>
    <t>Mali</t>
  </si>
  <si>
    <t>Cote d'Ivoire</t>
  </si>
  <si>
    <t>Comoros</t>
  </si>
  <si>
    <t>Vlook up</t>
  </si>
  <si>
    <t>match</t>
  </si>
  <si>
    <t>index</t>
  </si>
  <si>
    <t>index+match</t>
  </si>
  <si>
    <t>xlokup</t>
  </si>
  <si>
    <t>k</t>
  </si>
  <si>
    <t>Row Labels</t>
  </si>
  <si>
    <t>(blank)</t>
  </si>
  <si>
    <t>Grand Total</t>
  </si>
  <si>
    <t>Sum of Units Sold</t>
  </si>
  <si>
    <t xml:space="preserve">Sum of  Total Revenue </t>
  </si>
  <si>
    <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</si>
</sst>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809]* #,##0.00_-;\-[$£-809]* #,##0.00_-;_-[$£-809]* &quot;-&quot;??_-;_-@_-"/>
    <numFmt numFmtId="165" formatCode="_([$€-2]\ * #,##0.00_);_([$€-2]\ * \(#,##0.00\);_([$€-2]\ * &quot;-&quot;??_);_(@_)"/>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
    <xf numFmtId="0" fontId="0" fillId="0" borderId="0" xfId="0"/>
    <xf numFmtId="15" fontId="0" fillId="0" borderId="0" xfId="0" applyNumberFormat="1"/>
    <xf numFmtId="14" fontId="0" fillId="0" borderId="0" xfId="0" applyNumberFormat="1"/>
    <xf numFmtId="0" fontId="0" fillId="33" borderId="10" xfId="0" applyFont="1" applyFill="1" applyBorder="1"/>
    <xf numFmtId="15" fontId="0" fillId="33" borderId="10" xfId="0" applyNumberFormat="1" applyFont="1" applyFill="1" applyBorder="1"/>
    <xf numFmtId="14" fontId="0" fillId="33" borderId="10" xfId="0" applyNumberFormat="1" applyFont="1" applyFill="1" applyBorder="1"/>
    <xf numFmtId="0" fontId="0" fillId="0" borderId="10" xfId="0" applyFont="1" applyBorder="1"/>
    <xf numFmtId="15" fontId="0" fillId="0" borderId="10" xfId="0" applyNumberFormat="1" applyFont="1" applyBorder="1"/>
    <xf numFmtId="14" fontId="0" fillId="0" borderId="10" xfId="0" applyNumberFormat="1" applyFont="1" applyBorder="1"/>
    <xf numFmtId="164" fontId="0" fillId="0" borderId="0" xfId="0" applyNumberFormat="1" applyAlignment="1">
      <alignment horizontal="center" vertical="center"/>
    </xf>
    <xf numFmtId="164" fontId="0" fillId="0" borderId="11" xfId="0" applyNumberFormat="1" applyFont="1" applyBorder="1" applyAlignment="1">
      <alignment horizontal="center" vertical="center"/>
    </xf>
    <xf numFmtId="164" fontId="0" fillId="33" borderId="11" xfId="0" applyNumberFormat="1" applyFon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vertical="center"/>
    </xf>
    <xf numFmtId="0" fontId="0" fillId="0" borderId="0" xfId="0" applyNumberForma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7">
    <dxf>
      <numFmt numFmtId="164" formatCode="_-[$£-809]* #,##0.00_-;\-[$£-809]* #,##0.00_-;_-[$£-809]* &quot;-&quot;??_-;_-@_-"/>
      <alignment horizontal="center" vertical="center" textRotation="0" wrapText="0" indent="0" justifyLastLine="0" shrinkToFit="0" readingOrder="0"/>
    </dxf>
    <dxf>
      <numFmt numFmtId="19" formatCode="m/d/yyyy"/>
    </dxf>
    <dxf>
      <numFmt numFmtId="20" formatCode="d\-mmm\-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fill>
        <patternFill>
          <bgColor rgb="FFFFC7CE"/>
        </patternFill>
      </fill>
    </dxf>
    <dxf>
      <font>
        <color rgb="FF9C6500"/>
      </font>
      <fill>
        <patternFill>
          <bgColor rgb="FFFFEB9C"/>
        </patternFill>
      </fill>
    </dxf>
    <dxf>
      <font>
        <color rgb="FF9C6500"/>
      </font>
      <fill>
        <patternFill>
          <fgColor indexed="64"/>
          <bgColor rgb="FFFFEB9C"/>
        </patternFill>
      </fill>
    </dxf>
    <dxf>
      <font>
        <color rgb="FF9C0006"/>
      </font>
      <fill>
        <patternFill>
          <bgColor rgb="FFFFC7CE"/>
        </patternFill>
      </fill>
    </dxf>
    <dxf>
      <font>
        <color rgb="FF9C0006"/>
      </font>
      <fill>
        <patternFill>
          <bgColor rgb="FFFFC7CE"/>
        </patternFill>
      </fill>
    </dxf>
    <dxf>
      <font>
        <color rgb="FF9C0006"/>
      </font>
    </dxf>
    <dxf>
      <fill>
        <patternFill>
          <bgColor rgb="FFFFC7CE"/>
        </patternFill>
      </fill>
    </dxf>
    <dxf>
      <font>
        <color rgb="FF9C6500"/>
      </font>
      <fill>
        <patternFill>
          <bgColor rgb="FFFFEB9C"/>
        </patternFill>
      </fill>
    </dxf>
    <dxf>
      <font>
        <color rgb="FF9C6500"/>
      </font>
      <fill>
        <patternFill>
          <fgColor indexed="64"/>
          <bgColor rgb="FFFFEB9C"/>
        </patternFill>
      </fill>
    </dxf>
    <dxf>
      <font>
        <color rgb="FF9C0006"/>
      </font>
      <fill>
        <patternFill>
          <bgColor rgb="FFFFC7CE"/>
        </patternFill>
      </fill>
    </dxf>
    <dxf>
      <font>
        <color rgb="FF9C0006"/>
      </font>
      <fill>
        <patternFill>
          <bgColor rgb="FFFFC7CE"/>
        </patternFill>
      </fill>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330200</xdr:colOff>
          <xdr:row>14</xdr:row>
          <xdr:rowOff>171450</xdr:rowOff>
        </xdr:from>
        <xdr:to>
          <xdr:col>16</xdr:col>
          <xdr:colOff>406400</xdr:colOff>
          <xdr:row>17</xdr:row>
          <xdr:rowOff>19050</xdr:rowOff>
        </xdr:to>
        <xdr:sp macro="" textlink="">
          <xdr:nvSpPr>
            <xdr:cNvPr id="1026" name="Button 2" hidden="1">
              <a:extLst>
                <a:ext uri="{63B3BB69-23CF-44E3-9099-C40C66FF867C}">
                  <a14:compatExt spid="_x0000_s1026"/>
                </a:ext>
              </a:extLst>
            </xdr:cNvPr>
            <xdr:cNvSpPr/>
          </xdr:nvSpPr>
          <xdr:spPr>
            <a:xfrm>
              <a:off x="0" y="0"/>
              <a:ext cx="0" cy="0"/>
            </a:xfrm>
            <a:prstGeom prst="rect">
              <a:avLst/>
            </a:prstGeom>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ea typeface="Calibri"/>
                  <a:cs typeface="Calibri"/>
                </a:rPr>
                <a:t>Button 2</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4</xdr:col>
      <xdr:colOff>158750</xdr:colOff>
      <xdr:row>0</xdr:row>
      <xdr:rowOff>19050</xdr:rowOff>
    </xdr:from>
    <xdr:to>
      <xdr:col>5</xdr:col>
      <xdr:colOff>584200</xdr:colOff>
      <xdr:row>13</xdr:row>
      <xdr:rowOff>149225</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78450" y="1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C" refreshedDate="46205.461233680559" createdVersion="4" refreshedVersion="4" minRefreshableVersion="3" recordCount="15">
  <cacheSource type="worksheet">
    <worksheetSource name="Table1"/>
  </cacheSource>
  <cacheFields count="12">
    <cacheField name="Region" numFmtId="0">
      <sharedItems containsBlank="1" count="7">
        <s v="Europe"/>
        <s v="Central America and the Caribbean"/>
        <s v="Sub-Saharan Africa"/>
        <s v="Asia"/>
        <s v="Middle East and North Africa"/>
        <s v="Australia and Oceania"/>
        <m/>
      </sharedItems>
    </cacheField>
    <cacheField name="Country" numFmtId="0">
      <sharedItems containsBlank="1" count="10">
        <s v="Albania"/>
        <s v="Angola"/>
        <s v="Mali"/>
        <s v="Brunei"/>
        <s v="Bulgaria"/>
        <s v="Cote d'Ivoire"/>
        <s v="Azerbaijan"/>
        <s v="Australia"/>
        <s v="Comoros"/>
        <m/>
      </sharedItems>
    </cacheField>
    <cacheField name="Item Type" numFmtId="0">
      <sharedItems containsBlank="1" count="6">
        <s v="Clothes"/>
        <s v="Household"/>
        <s v="Office Supplies"/>
        <s v="Cereal"/>
        <s v="Beverages"/>
        <m/>
      </sharedItems>
    </cacheField>
    <cacheField name="Sales Channel" numFmtId="0">
      <sharedItems containsBlank="1" count="3">
        <s v="Online"/>
        <s v="Offline"/>
        <m/>
      </sharedItems>
    </cacheField>
    <cacheField name="Order Priority" numFmtId="0">
      <sharedItems containsBlank="1"/>
    </cacheField>
    <cacheField name="Order Date" numFmtId="15">
      <sharedItems containsNonDate="0" containsDate="1" containsString="0" containsBlank="1" minDate="2010-02-02T00:00:00" maxDate="2026-07-27T00:00:00"/>
    </cacheField>
    <cacheField name="Order ID" numFmtId="0">
      <sharedItems containsString="0" containsBlank="1" containsNumber="1" containsInteger="1" minValue="114606559" maxValue="972292029"/>
    </cacheField>
    <cacheField name="Ship Date" numFmtId="14">
      <sharedItems containsNonDate="0" containsDate="1" containsString="0" containsBlank="1" minDate="2010-03-18T00:00:00" maxDate="2016-04-30T00:00:00"/>
    </cacheField>
    <cacheField name="Units Sold" numFmtId="0">
      <sharedItems containsString="0" containsBlank="1" containsNumber="1" containsInteger="1" minValue="682" maxValue="9389" count="12">
        <n v="2269"/>
        <n v="4187"/>
        <n v="888"/>
        <n v="6708"/>
        <n v="1673"/>
        <n v="3482"/>
        <n v="2021"/>
        <n v="682"/>
        <n v="9389"/>
        <n v="2924"/>
        <n v="962"/>
        <m/>
      </sharedItems>
    </cacheField>
    <cacheField name="Unit Price" numFmtId="0">
      <sharedItems containsString="0" containsBlank="1" containsNumber="1" minValue="47.45" maxValue="668.27"/>
    </cacheField>
    <cacheField name="Unit Cost" numFmtId="0">
      <sharedItems containsString="0" containsBlank="1" containsNumber="1" minValue="31.79" maxValue="524.96"/>
    </cacheField>
    <cacheField name=" Total Revenue " numFmtId="164">
      <sharedItems containsSemiMixedTypes="0" containsString="0" containsNumber="1" minValue="7866" maxValue="4368316.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
  <r>
    <x v="0"/>
    <x v="0"/>
    <x v="0"/>
    <x v="0"/>
    <s v="C"/>
    <d v="2010-02-02T00:00:00"/>
    <n v="385383069"/>
    <d v="2010-03-18T00:00:00"/>
    <x v="0"/>
    <n v="109.28"/>
    <n v="35.840000000000003"/>
    <n v="247956.3"/>
  </r>
  <r>
    <x v="1"/>
    <x v="1"/>
    <x v="1"/>
    <x v="1"/>
    <s v="M"/>
    <d v="2011-04-23T00:00:00"/>
    <n v="135425221"/>
    <d v="2011-04-27T00:00:00"/>
    <x v="1"/>
    <n v="668.27"/>
    <n v="502.54"/>
    <n v="2798046.5"/>
  </r>
  <r>
    <x v="2"/>
    <x v="2"/>
    <x v="0"/>
    <x v="0"/>
    <s v="M"/>
    <d v="2026-07-26T00:00:00"/>
    <n v="512878119"/>
    <d v="2011-09-03T00:00:00"/>
    <x v="2"/>
    <n v="109.28"/>
    <n v="35.840000000000003"/>
    <n v="97040.6"/>
  </r>
  <r>
    <x v="3"/>
    <x v="3"/>
    <x v="2"/>
    <x v="0"/>
    <s v="L"/>
    <d v="2012-04-01T00:00:00"/>
    <n v="320009267"/>
    <d v="2012-05-08T00:00:00"/>
    <x v="3"/>
    <n v="651.21"/>
    <n v="524.96"/>
    <n v="4368316.7"/>
  </r>
  <r>
    <x v="0"/>
    <x v="4"/>
    <x v="0"/>
    <x v="0"/>
    <s v="M"/>
    <d v="2012-04-23T00:00:00"/>
    <n v="972292029"/>
    <d v="2012-06-03T00:00:00"/>
    <x v="4"/>
    <n v="109.28"/>
    <n v="35.840000000000003"/>
    <n v="182825.4"/>
  </r>
  <r>
    <x v="2"/>
    <x v="5"/>
    <x v="0"/>
    <x v="0"/>
    <s v="C"/>
    <d v="2012-06-08T00:00:00"/>
    <n v="114606559"/>
    <d v="2012-06-27T00:00:00"/>
    <x v="5"/>
    <n v="109.28"/>
    <n v="35.840000000000003"/>
    <n v="380513"/>
  </r>
  <r>
    <x v="4"/>
    <x v="6"/>
    <x v="2"/>
    <x v="0"/>
    <s v="M"/>
    <d v="2012-06-13T00:00:00"/>
    <n v="423331391"/>
    <d v="2012-07-24T00:00:00"/>
    <x v="6"/>
    <n v="651.21"/>
    <n v="524.96"/>
    <n v="1316095.3999999999"/>
  </r>
  <r>
    <x v="5"/>
    <x v="7"/>
    <x v="3"/>
    <x v="1"/>
    <s v="H"/>
    <d v="2013-06-09T00:00:00"/>
    <n v="450563752"/>
    <d v="2013-07-02T00:00:00"/>
    <x v="7"/>
    <n v="205.7"/>
    <n v="117.11"/>
    <n v="140287.4"/>
  </r>
  <r>
    <x v="5"/>
    <x v="7"/>
    <x v="4"/>
    <x v="1"/>
    <s v="H"/>
    <d v="2014-07-07T00:00:00"/>
    <n v="240470397"/>
    <d v="2014-07-11T00:00:00"/>
    <x v="8"/>
    <n v="47.45"/>
    <n v="31.79"/>
    <n v="445508.1"/>
  </r>
  <r>
    <x v="5"/>
    <x v="7"/>
    <x v="2"/>
    <x v="0"/>
    <s v="C"/>
    <d v="2015-10-27T00:00:00"/>
    <n v="158535134"/>
    <d v="2015-11-25T00:00:00"/>
    <x v="9"/>
    <n v="651.21"/>
    <n v="524.96"/>
    <n v="1904138"/>
  </r>
  <r>
    <x v="2"/>
    <x v="8"/>
    <x v="3"/>
    <x v="1"/>
    <s v="H"/>
    <d v="2016-03-29T00:00:00"/>
    <n v="902102267"/>
    <d v="2016-04-29T00:00:00"/>
    <x v="10"/>
    <n v="205.7"/>
    <n v="117.11"/>
    <n v="197883.4"/>
  </r>
  <r>
    <x v="6"/>
    <x v="9"/>
    <x v="5"/>
    <x v="1"/>
    <m/>
    <m/>
    <m/>
    <m/>
    <x v="11"/>
    <m/>
    <m/>
    <n v="89756"/>
  </r>
  <r>
    <x v="6"/>
    <x v="9"/>
    <x v="5"/>
    <x v="0"/>
    <m/>
    <m/>
    <m/>
    <m/>
    <x v="11"/>
    <m/>
    <m/>
    <n v="7866"/>
  </r>
  <r>
    <x v="6"/>
    <x v="9"/>
    <x v="5"/>
    <x v="2"/>
    <m/>
    <m/>
    <m/>
    <m/>
    <x v="11"/>
    <m/>
    <m/>
    <n v="8334"/>
  </r>
  <r>
    <x v="6"/>
    <x v="9"/>
    <x v="5"/>
    <x v="2"/>
    <m/>
    <m/>
    <m/>
    <m/>
    <x v="11"/>
    <m/>
    <m/>
    <n v="19788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C5" firstHeaderRow="0" firstDataRow="1" firstDataCol="1"/>
  <pivotFields count="12">
    <pivotField axis="axisRow" showAll="0">
      <items count="8">
        <item h="1" sd="0" x="3"/>
        <item h="1" sd="0" x="5"/>
        <item n="s" sd="0" x="1"/>
        <item h="1" sd="0" x="0"/>
        <item h="1" sd="0" x="4"/>
        <item h="1" sd="0" x="2"/>
        <item h="1" sd="0" x="6"/>
        <item t="default"/>
      </items>
    </pivotField>
    <pivotField showAll="0"/>
    <pivotField axis="axisRow" showAll="0">
      <items count="7">
        <item x="4"/>
        <item x="3"/>
        <item x="0"/>
        <item x="1"/>
        <item x="2"/>
        <item x="5"/>
        <item t="default"/>
      </items>
    </pivotField>
    <pivotField axis="axisRow" showAll="0">
      <items count="4">
        <item x="1"/>
        <item x="0"/>
        <item x="2"/>
        <item t="default"/>
      </items>
    </pivotField>
    <pivotField showAll="0"/>
    <pivotField showAll="0"/>
    <pivotField showAll="0"/>
    <pivotField showAll="0"/>
    <pivotField dataField="1" showAll="0"/>
    <pivotField showAll="0"/>
    <pivotField showAll="0"/>
    <pivotField dataField="1" numFmtId="164" showAll="0"/>
  </pivotFields>
  <rowFields count="3">
    <field x="0"/>
    <field x="2"/>
    <field x="3"/>
  </rowFields>
  <rowItems count="2">
    <i>
      <x v="2"/>
    </i>
    <i t="grand">
      <x/>
    </i>
  </rowItems>
  <colFields count="1">
    <field x="-2"/>
  </colFields>
  <colItems count="2">
    <i>
      <x/>
    </i>
    <i i="1">
      <x v="1"/>
    </i>
  </colItems>
  <dataFields count="2">
    <dataField name="Sum of Units Sold" fld="8" baseField="0" baseItem="0"/>
    <dataField name="Sum of  Total Revenue " fld="11" baseField="0" baseItem="0"/>
  </dataFields>
  <conditionalFormats count="1">
    <conditionalFormat priority="1">
      <pivotAreas count="1">
        <pivotArea outline="0" fieldPosition="0">
          <references count="1">
            <reference field="4294967294"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4" minRefreshableVersion="3" useAutoFormatting="1" itemPrintTitles="1" createdVersion="4" indent="0" showHeaders="0" outline="1" outlineData="1" multipleFieldFilters="0">
  <location ref="J2:N11" firstHeaderRow="1" firstDataRow="2" firstDataCol="1"/>
  <pivotFields count="12">
    <pivotField axis="axisRow" showAll="0">
      <items count="8">
        <item sd="0" x="3"/>
        <item sd="0" x="5"/>
        <item sd="0" x="1"/>
        <item sd="0" x="0"/>
        <item sd="0" x="4"/>
        <item sd="0" x="2"/>
        <item sd="0" x="6"/>
        <item t="default"/>
      </items>
    </pivotField>
    <pivotField axis="axisRow" showAll="0">
      <items count="11">
        <item x="0"/>
        <item x="1"/>
        <item x="7"/>
        <item x="6"/>
        <item x="3"/>
        <item x="4"/>
        <item x="8"/>
        <item x="5"/>
        <item x="2"/>
        <item x="9"/>
        <item t="default"/>
      </items>
    </pivotField>
    <pivotField showAll="0"/>
    <pivotField axis="axisCol" showAll="0" sortType="ascending">
      <items count="4">
        <item x="1"/>
        <item x="0"/>
        <item x="2"/>
        <item t="default"/>
      </items>
    </pivotField>
    <pivotField showAll="0"/>
    <pivotField showAll="0"/>
    <pivotField showAll="0"/>
    <pivotField showAll="0"/>
    <pivotField dataField="1" showAll="0">
      <items count="13">
        <item x="7"/>
        <item x="2"/>
        <item x="10"/>
        <item x="4"/>
        <item x="6"/>
        <item x="0"/>
        <item x="9"/>
        <item x="5"/>
        <item x="1"/>
        <item x="3"/>
        <item x="8"/>
        <item x="11"/>
        <item t="default"/>
      </items>
    </pivotField>
    <pivotField showAll="0"/>
    <pivotField showAll="0"/>
    <pivotField numFmtId="164" showAll="0"/>
  </pivotFields>
  <rowFields count="2">
    <field x="0"/>
    <field x="1"/>
  </rowFields>
  <rowItems count="8">
    <i>
      <x/>
    </i>
    <i>
      <x v="1"/>
    </i>
    <i>
      <x v="2"/>
    </i>
    <i>
      <x v="3"/>
    </i>
    <i>
      <x v="4"/>
    </i>
    <i>
      <x v="5"/>
    </i>
    <i>
      <x v="6"/>
    </i>
    <i t="grand">
      <x/>
    </i>
  </rowItems>
  <colFields count="1">
    <field x="3"/>
  </colFields>
  <colItems count="4">
    <i>
      <x/>
    </i>
    <i>
      <x v="1"/>
    </i>
    <i>
      <x v="2"/>
    </i>
    <i t="grand">
      <x/>
    </i>
  </colItems>
  <dataFields count="1">
    <dataField name="Sum of Units Sold" fld="8" baseField="0" baseItem="0"/>
  </dataFields>
  <formats count="6">
    <format dxfId="114">
      <pivotArea outline="0" collapsedLevelsAreSubtotals="1" fieldPosition="0">
        <references count="1">
          <reference field="3" count="1" selected="0">
            <x v="0"/>
          </reference>
        </references>
      </pivotArea>
    </format>
    <format dxfId="113">
      <pivotArea field="3" type="button" dataOnly="0" labelOnly="1" outline="0" axis="axisCol" fieldPosition="0"/>
    </format>
    <format dxfId="112">
      <pivotArea dataOnly="0" labelOnly="1" fieldPosition="0">
        <references count="1">
          <reference field="3" count="1">
            <x v="0"/>
          </reference>
        </references>
      </pivotArea>
    </format>
    <format dxfId="111">
      <pivotArea outline="0" collapsedLevelsAreSubtotals="1" fieldPosition="0">
        <references count="1">
          <reference field="3" count="1" selected="0">
            <x v="0"/>
          </reference>
        </references>
      </pivotArea>
    </format>
    <format dxfId="110">
      <pivotArea field="3" type="button" dataOnly="0" labelOnly="1" outline="0" axis="axisCol" fieldPosition="0"/>
    </format>
    <format dxfId="109">
      <pivotArea dataOnly="0" labelOnly="1" fieldPosition="0">
        <references count="1">
          <reference field="3" count="1">
            <x v="0"/>
          </reference>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s>
  <data>
    <tabular pivotCacheId="1">
      <items count="7">
        <i x="3"/>
        <i x="5"/>
        <i x="1" s="1"/>
        <i x="0"/>
        <i x="4"/>
        <i x="2"/>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tables/table1.xml><?xml version="1.0" encoding="utf-8"?>
<table xmlns="http://schemas.openxmlformats.org/spreadsheetml/2006/main" id="1" name="Table1" displayName="Table1" ref="A1:L16" totalsRowShown="0">
  <autoFilter ref="A1:L16"/>
  <tableColumns count="12">
    <tableColumn id="1" name="Region"/>
    <tableColumn id="2" name="Country"/>
    <tableColumn id="3" name="Item Type"/>
    <tableColumn id="4" name="Sales Channel"/>
    <tableColumn id="5" name="Order Priority"/>
    <tableColumn id="6" name="Order Date" dataDxfId="2"/>
    <tableColumn id="7" name="Order ID"/>
    <tableColumn id="8" name="Ship Date" dataDxfId="1"/>
    <tableColumn id="9" name="Units Sold"/>
    <tableColumn id="10" name="Unit Price"/>
    <tableColumn id="11" name="Unit Cost"/>
    <tableColumn id="12" name=" Total Revenue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1"/>
  <sheetViews>
    <sheetView zoomScale="90" zoomScaleNormal="90" workbookViewId="0">
      <selection activeCell="D5" sqref="D5"/>
    </sheetView>
  </sheetViews>
  <sheetFormatPr defaultRowHeight="14.5" x14ac:dyDescent="0.35"/>
  <cols>
    <col min="2" max="2" width="9.54296875" customWidth="1"/>
    <col min="3" max="3" width="11.1796875" customWidth="1"/>
    <col min="4" max="4" width="14.26953125" customWidth="1"/>
    <col min="5" max="5" width="14.36328125" customWidth="1"/>
    <col min="6" max="6" width="12.1796875" customWidth="1"/>
    <col min="7" max="7" width="10.6328125" customWidth="1"/>
    <col min="8" max="8" width="11.36328125" customWidth="1"/>
    <col min="9" max="9" width="11.1796875" customWidth="1"/>
    <col min="10" max="10" width="10.90625" customWidth="1"/>
    <col min="11" max="11" width="10.54296875" customWidth="1"/>
    <col min="12" max="12" width="15.6328125" customWidth="1"/>
  </cols>
  <sheetData>
    <row r="1" spans="1:17" x14ac:dyDescent="0.35">
      <c r="A1" t="s">
        <v>0</v>
      </c>
      <c r="B1" t="s">
        <v>1</v>
      </c>
      <c r="C1" t="s">
        <v>2</v>
      </c>
      <c r="D1" t="s">
        <v>3</v>
      </c>
      <c r="E1" t="s">
        <v>4</v>
      </c>
      <c r="F1" t="s">
        <v>5</v>
      </c>
      <c r="G1" t="s">
        <v>6</v>
      </c>
      <c r="H1" t="s">
        <v>7</v>
      </c>
      <c r="I1" t="s">
        <v>8</v>
      </c>
      <c r="J1" t="s">
        <v>9</v>
      </c>
      <c r="K1" t="s">
        <v>10</v>
      </c>
      <c r="L1" s="12" t="s">
        <v>11</v>
      </c>
      <c r="P1">
        <v>56</v>
      </c>
    </row>
    <row r="2" spans="1:17" x14ac:dyDescent="0.35">
      <c r="A2" t="s">
        <v>29</v>
      </c>
      <c r="B2" t="s">
        <v>32</v>
      </c>
      <c r="C2" t="s">
        <v>31</v>
      </c>
      <c r="D2" t="s">
        <v>15</v>
      </c>
      <c r="E2" t="s">
        <v>24</v>
      </c>
      <c r="F2" s="1">
        <v>40211</v>
      </c>
      <c r="G2">
        <v>385383069</v>
      </c>
      <c r="H2" s="2">
        <v>40255</v>
      </c>
      <c r="I2">
        <v>2269</v>
      </c>
      <c r="J2">
        <v>109.28</v>
      </c>
      <c r="K2">
        <v>35.840000000000003</v>
      </c>
      <c r="L2" s="9">
        <v>247956.3</v>
      </c>
      <c r="N2" t="s">
        <v>17</v>
      </c>
      <c r="O2">
        <v>1</v>
      </c>
      <c r="P2">
        <v>21</v>
      </c>
    </row>
    <row r="3" spans="1:17" x14ac:dyDescent="0.35">
      <c r="A3" t="s">
        <v>25</v>
      </c>
      <c r="B3" t="s">
        <v>26</v>
      </c>
      <c r="C3" t="s">
        <v>27</v>
      </c>
      <c r="D3" t="s">
        <v>21</v>
      </c>
      <c r="E3" t="s">
        <v>28</v>
      </c>
      <c r="F3" s="1">
        <v>40656</v>
      </c>
      <c r="G3">
        <v>135425221</v>
      </c>
      <c r="H3" s="2">
        <v>40660</v>
      </c>
      <c r="I3">
        <v>4187</v>
      </c>
      <c r="J3">
        <v>668.27</v>
      </c>
      <c r="K3">
        <v>502.54</v>
      </c>
      <c r="L3" s="9">
        <v>2798046.5</v>
      </c>
      <c r="O3">
        <v>2</v>
      </c>
      <c r="P3">
        <v>23</v>
      </c>
      <c r="Q3">
        <v>1</v>
      </c>
    </row>
    <row r="4" spans="1:17" x14ac:dyDescent="0.35">
      <c r="A4" t="s">
        <v>36</v>
      </c>
      <c r="B4" t="s">
        <v>37</v>
      </c>
      <c r="C4" t="s">
        <v>31</v>
      </c>
      <c r="D4" t="s">
        <v>15</v>
      </c>
      <c r="E4" t="s">
        <v>28</v>
      </c>
      <c r="F4" s="1">
        <v>46229</v>
      </c>
      <c r="G4">
        <v>512878119</v>
      </c>
      <c r="H4" s="2">
        <v>40789</v>
      </c>
      <c r="I4">
        <v>888</v>
      </c>
      <c r="J4">
        <v>109.28</v>
      </c>
      <c r="K4">
        <v>35.840000000000003</v>
      </c>
      <c r="L4" s="9">
        <v>97040.6</v>
      </c>
      <c r="O4">
        <v>3</v>
      </c>
      <c r="P4">
        <v>22</v>
      </c>
      <c r="Q4">
        <v>2</v>
      </c>
    </row>
    <row r="5" spans="1:17" x14ac:dyDescent="0.35">
      <c r="A5" t="s">
        <v>12</v>
      </c>
      <c r="B5" t="s">
        <v>13</v>
      </c>
      <c r="C5" t="s">
        <v>14</v>
      </c>
      <c r="D5" t="s">
        <v>15</v>
      </c>
      <c r="E5" t="s">
        <v>16</v>
      </c>
      <c r="F5" s="1">
        <v>41000</v>
      </c>
      <c r="G5">
        <v>320009267</v>
      </c>
      <c r="H5" s="2">
        <v>41037</v>
      </c>
      <c r="I5">
        <v>6708</v>
      </c>
      <c r="J5">
        <v>651.21</v>
      </c>
      <c r="K5">
        <v>524.96</v>
      </c>
      <c r="L5" s="9">
        <v>4368316.7</v>
      </c>
      <c r="N5">
        <v>6</v>
      </c>
      <c r="O5">
        <v>4</v>
      </c>
      <c r="P5">
        <v>25</v>
      </c>
      <c r="Q5">
        <v>3</v>
      </c>
    </row>
    <row r="6" spans="1:17" x14ac:dyDescent="0.35">
      <c r="A6" t="s">
        <v>29</v>
      </c>
      <c r="B6" t="s">
        <v>30</v>
      </c>
      <c r="C6" t="s">
        <v>31</v>
      </c>
      <c r="D6" t="s">
        <v>15</v>
      </c>
      <c r="E6" t="s">
        <v>28</v>
      </c>
      <c r="F6" s="1">
        <v>41022</v>
      </c>
      <c r="G6">
        <v>972292029</v>
      </c>
      <c r="H6" s="2">
        <v>41063</v>
      </c>
      <c r="I6">
        <v>1673</v>
      </c>
      <c r="J6">
        <v>109.28</v>
      </c>
      <c r="K6">
        <v>35.840000000000003</v>
      </c>
      <c r="L6" s="9">
        <v>182825.4</v>
      </c>
      <c r="N6">
        <v>4</v>
      </c>
      <c r="O6">
        <v>5</v>
      </c>
      <c r="P6">
        <v>24</v>
      </c>
      <c r="Q6">
        <v>4</v>
      </c>
    </row>
    <row r="7" spans="1:17" x14ac:dyDescent="0.35">
      <c r="A7" t="s">
        <v>36</v>
      </c>
      <c r="B7" t="s">
        <v>38</v>
      </c>
      <c r="C7" t="s">
        <v>31</v>
      </c>
      <c r="D7" t="s">
        <v>15</v>
      </c>
      <c r="E7" t="s">
        <v>24</v>
      </c>
      <c r="F7" s="1">
        <v>41068</v>
      </c>
      <c r="G7">
        <v>114606559</v>
      </c>
      <c r="H7" s="2">
        <v>41087</v>
      </c>
      <c r="I7">
        <v>3482</v>
      </c>
      <c r="J7">
        <v>109.28</v>
      </c>
      <c r="K7">
        <v>35.840000000000003</v>
      </c>
      <c r="L7" s="9">
        <v>380513</v>
      </c>
      <c r="N7">
        <v>5</v>
      </c>
      <c r="O7">
        <v>6</v>
      </c>
      <c r="P7">
        <v>21</v>
      </c>
      <c r="Q7">
        <v>5</v>
      </c>
    </row>
    <row r="8" spans="1:17" x14ac:dyDescent="0.35">
      <c r="A8" t="s">
        <v>33</v>
      </c>
      <c r="B8" t="s">
        <v>34</v>
      </c>
      <c r="C8" t="s">
        <v>14</v>
      </c>
      <c r="D8" t="s">
        <v>15</v>
      </c>
      <c r="E8" t="s">
        <v>28</v>
      </c>
      <c r="F8" s="1">
        <v>41073</v>
      </c>
      <c r="G8">
        <v>423331391</v>
      </c>
      <c r="H8" s="2">
        <v>41114</v>
      </c>
      <c r="I8">
        <v>2021</v>
      </c>
      <c r="J8">
        <v>651.21</v>
      </c>
      <c r="K8">
        <v>524.96</v>
      </c>
      <c r="L8" s="9">
        <v>1316095.3999999999</v>
      </c>
      <c r="N8">
        <v>2</v>
      </c>
      <c r="O8">
        <v>7</v>
      </c>
      <c r="P8">
        <v>76</v>
      </c>
      <c r="Q8">
        <v>6</v>
      </c>
    </row>
    <row r="9" spans="1:17" x14ac:dyDescent="0.35">
      <c r="A9" t="s">
        <v>18</v>
      </c>
      <c r="B9" t="s">
        <v>19</v>
      </c>
      <c r="C9" t="s">
        <v>23</v>
      </c>
      <c r="D9" t="s">
        <v>21</v>
      </c>
      <c r="E9" t="s">
        <v>22</v>
      </c>
      <c r="F9" s="1">
        <v>41434</v>
      </c>
      <c r="G9">
        <v>450563752</v>
      </c>
      <c r="H9" s="2">
        <v>41457</v>
      </c>
      <c r="I9">
        <v>682</v>
      </c>
      <c r="J9">
        <v>205.7</v>
      </c>
      <c r="K9">
        <v>117.11</v>
      </c>
      <c r="L9" s="9">
        <v>140287.4</v>
      </c>
      <c r="N9">
        <v>3</v>
      </c>
      <c r="O9">
        <v>8</v>
      </c>
      <c r="P9">
        <v>32</v>
      </c>
      <c r="Q9">
        <v>7</v>
      </c>
    </row>
    <row r="10" spans="1:17" x14ac:dyDescent="0.35">
      <c r="A10" t="s">
        <v>18</v>
      </c>
      <c r="B10" t="s">
        <v>19</v>
      </c>
      <c r="C10" t="s">
        <v>20</v>
      </c>
      <c r="D10" t="s">
        <v>21</v>
      </c>
      <c r="E10" t="s">
        <v>22</v>
      </c>
      <c r="F10" s="1">
        <v>41827</v>
      </c>
      <c r="G10">
        <v>240470397</v>
      </c>
      <c r="H10" s="2">
        <v>41831</v>
      </c>
      <c r="I10">
        <v>9389</v>
      </c>
      <c r="J10">
        <v>47.45</v>
      </c>
      <c r="K10">
        <v>31.79</v>
      </c>
      <c r="L10" s="9">
        <v>445508.1</v>
      </c>
      <c r="N10">
        <v>1</v>
      </c>
      <c r="Q10">
        <v>8</v>
      </c>
    </row>
    <row r="11" spans="1:17" x14ac:dyDescent="0.35">
      <c r="A11" t="s">
        <v>18</v>
      </c>
      <c r="B11" t="s">
        <v>19</v>
      </c>
      <c r="C11" t="s">
        <v>14</v>
      </c>
      <c r="D11" t="s">
        <v>15</v>
      </c>
      <c r="E11" t="s">
        <v>24</v>
      </c>
      <c r="F11" s="1">
        <v>42304</v>
      </c>
      <c r="G11">
        <v>158535134</v>
      </c>
      <c r="H11" s="2">
        <v>42333</v>
      </c>
      <c r="I11">
        <v>2924</v>
      </c>
      <c r="J11">
        <v>651.21</v>
      </c>
      <c r="K11">
        <v>524.96</v>
      </c>
      <c r="L11" s="9">
        <v>1904138</v>
      </c>
      <c r="N11">
        <v>6</v>
      </c>
      <c r="Q11">
        <v>9</v>
      </c>
    </row>
    <row r="12" spans="1:17" x14ac:dyDescent="0.35">
      <c r="A12" t="s">
        <v>36</v>
      </c>
      <c r="B12" t="s">
        <v>39</v>
      </c>
      <c r="C12" t="s">
        <v>23</v>
      </c>
      <c r="D12" t="s">
        <v>21</v>
      </c>
      <c r="E12" t="s">
        <v>22</v>
      </c>
      <c r="F12" s="1">
        <v>42458</v>
      </c>
      <c r="G12">
        <v>902102267</v>
      </c>
      <c r="H12" s="2">
        <v>42489</v>
      </c>
      <c r="I12">
        <v>962</v>
      </c>
      <c r="J12">
        <v>205.7</v>
      </c>
      <c r="K12">
        <v>117.11</v>
      </c>
      <c r="L12" s="9">
        <v>197883.4</v>
      </c>
    </row>
    <row r="13" spans="1:17" x14ac:dyDescent="0.35">
      <c r="D13" t="s">
        <v>21</v>
      </c>
      <c r="F13" s="1"/>
      <c r="H13" s="2"/>
      <c r="L13" s="9">
        <v>89756</v>
      </c>
    </row>
    <row r="14" spans="1:17" x14ac:dyDescent="0.35">
      <c r="D14" t="s">
        <v>15</v>
      </c>
      <c r="F14" s="1"/>
      <c r="H14" s="2"/>
      <c r="L14" s="9">
        <v>7866</v>
      </c>
    </row>
    <row r="15" spans="1:17" x14ac:dyDescent="0.35">
      <c r="F15" s="1"/>
      <c r="H15" s="2"/>
      <c r="L15" s="9">
        <v>8334</v>
      </c>
    </row>
    <row r="16" spans="1:17" x14ac:dyDescent="0.35">
      <c r="F16" s="1"/>
      <c r="H16" s="2"/>
      <c r="L16" s="9">
        <v>197883.4</v>
      </c>
    </row>
    <row r="17" spans="1:13" x14ac:dyDescent="0.35">
      <c r="A17" t="s">
        <v>0</v>
      </c>
      <c r="C17" t="s">
        <v>40</v>
      </c>
      <c r="F17" t="s">
        <v>41</v>
      </c>
      <c r="H17" t="s">
        <v>42</v>
      </c>
      <c r="K17" t="s">
        <v>43</v>
      </c>
      <c r="L17" t="s">
        <v>44</v>
      </c>
      <c r="M17" t="s">
        <v>17</v>
      </c>
    </row>
    <row r="18" spans="1:13" x14ac:dyDescent="0.35">
      <c r="A18" t="s">
        <v>25</v>
      </c>
      <c r="C18">
        <v>2798046.49</v>
      </c>
      <c r="F18">
        <v>7</v>
      </c>
      <c r="H18" t="s">
        <v>33</v>
      </c>
      <c r="K18">
        <v>2021</v>
      </c>
      <c r="M18">
        <v>502.54</v>
      </c>
    </row>
    <row r="20" spans="1:13" x14ac:dyDescent="0.35">
      <c r="A20" t="s">
        <v>35</v>
      </c>
      <c r="H20" t="e">
        <v>#NAME?</v>
      </c>
    </row>
    <row r="21" spans="1:13" x14ac:dyDescent="0.35">
      <c r="H21" t="s">
        <v>45</v>
      </c>
    </row>
  </sheetData>
  <conditionalFormatting sqref="F2:F10 F12:F15">
    <cfRule type="timePeriod" dxfId="126" priority="22" timePeriod="lastMonth">
      <formula>AND(MONTH(F2)=MONTH(EDATE(TODAY(),0-1)),YEAR(F2)=YEAR(EDATE(TODAY(),0-1)))</formula>
    </cfRule>
  </conditionalFormatting>
  <conditionalFormatting sqref="F2:F16">
    <cfRule type="timePeriod" dxfId="125" priority="21" timePeriod="thisMonth">
      <formula>AND(MONTH(F2)=MONTH(TODAY()),YEAR(F2)=YEAR(TODAY()))</formula>
    </cfRule>
  </conditionalFormatting>
  <conditionalFormatting sqref="C2:C16">
    <cfRule type="containsText" dxfId="6" priority="20" operator="containsText" text="Office Supplies,$C$7,$C$9">
      <formula>NOT(ISERROR(SEARCH("Office Supplies,$C$7,$C$9",C2)))</formula>
    </cfRule>
  </conditionalFormatting>
  <conditionalFormatting sqref="H2:H16">
    <cfRule type="top10" dxfId="124" priority="16" rank="5"/>
  </conditionalFormatting>
  <conditionalFormatting sqref="J2:J16">
    <cfRule type="cellIs" dxfId="123" priority="1" operator="lessThan">
      <formula>100</formula>
    </cfRule>
    <cfRule type="cellIs" dxfId="122" priority="2" operator="lessThan">
      <formula>100</formula>
    </cfRule>
    <cfRule type="cellIs" dxfId="121" priority="15" operator="between">
      <formula>100</formula>
      <formula>200</formula>
    </cfRule>
  </conditionalFormatting>
  <conditionalFormatting sqref="O2:O9">
    <cfRule type="colorScale" priority="14">
      <colorScale>
        <cfvo type="min"/>
        <cfvo type="percentile" val="50"/>
        <cfvo type="max"/>
        <color rgb="FFF8696B"/>
        <color rgb="FFFCFCFF"/>
        <color rgb="FF63BE7B"/>
      </colorScale>
    </cfRule>
  </conditionalFormatting>
  <conditionalFormatting sqref="P1:P9">
    <cfRule type="colorScale" priority="12">
      <colorScale>
        <cfvo type="min"/>
        <cfvo type="percentile" val="50"/>
        <cfvo type="max"/>
        <color rgb="FFF8696B"/>
        <color rgb="FFFFEB84"/>
        <color rgb="FF63BE7B"/>
      </colorScale>
    </cfRule>
    <cfRule type="iconSet" priority="13">
      <iconSet iconSet="3Arrows">
        <cfvo type="percent" val="0"/>
        <cfvo type="percent" val="33"/>
        <cfvo type="percent" val="67"/>
      </iconSet>
    </cfRule>
  </conditionalFormatting>
  <conditionalFormatting sqref="N5:N11">
    <cfRule type="dataBar" priority="11">
      <dataBar>
        <cfvo type="min"/>
        <cfvo type="max"/>
        <color rgb="FF63C384"/>
      </dataBar>
      <extLst>
        <ext xmlns:x14="http://schemas.microsoft.com/office/spreadsheetml/2009/9/main" uri="{B025F937-C7B1-47D3-B67F-A62EFF666E3E}">
          <x14:id>{579CC31B-F2A9-4F8F-AECF-DDE50BAECDAA}</x14:id>
        </ext>
      </extLst>
    </cfRule>
  </conditionalFormatting>
  <conditionalFormatting sqref="K2:K16">
    <cfRule type="dataBar" priority="10">
      <dataBar>
        <cfvo type="min"/>
        <cfvo type="max"/>
        <color rgb="FF63C384"/>
      </dataBar>
      <extLst>
        <ext xmlns:x14="http://schemas.microsoft.com/office/spreadsheetml/2009/9/main" uri="{B025F937-C7B1-47D3-B67F-A62EFF666E3E}">
          <x14:id>{F1626623-35EA-4BE0-BD5A-CE5DDEC3E0D3}</x14:id>
        </ext>
      </extLst>
    </cfRule>
  </conditionalFormatting>
  <conditionalFormatting sqref="Q3:Q11">
    <cfRule type="dataBar" priority="9">
      <dataBar>
        <cfvo type="min"/>
        <cfvo type="max"/>
        <color rgb="FFD6007B"/>
      </dataBar>
      <extLst>
        <ext xmlns:x14="http://schemas.microsoft.com/office/spreadsheetml/2009/9/main" uri="{B025F937-C7B1-47D3-B67F-A62EFF666E3E}">
          <x14:id>{0BDFEA56-FE91-4E3B-A8FA-57ADF7D1FB50}</x14:id>
        </ext>
      </extLst>
    </cfRule>
  </conditionalFormatting>
  <conditionalFormatting sqref="L2:L16">
    <cfRule type="dataBar" priority="4">
      <dataBar>
        <cfvo type="min"/>
        <cfvo type="max"/>
        <color rgb="FFD6007B"/>
      </dataBar>
      <extLst>
        <ext xmlns:x14="http://schemas.microsoft.com/office/spreadsheetml/2009/9/main" uri="{B025F937-C7B1-47D3-B67F-A62EFF666E3E}">
          <x14:id>{38760627-D9C6-4EEF-85FA-72648E72B263}</x14:id>
        </ext>
      </extLst>
    </cfRule>
  </conditionalFormatting>
  <conditionalFormatting sqref="I2:I16">
    <cfRule type="dataBar" priority="3">
      <dataBar>
        <cfvo type="min"/>
        <cfvo type="max"/>
        <color rgb="FF63C384"/>
      </dataBar>
      <extLst>
        <ext xmlns:x14="http://schemas.microsoft.com/office/spreadsheetml/2009/9/main" uri="{B025F937-C7B1-47D3-B67F-A62EFF666E3E}">
          <x14:id>{75E5AE13-79A9-49D0-B0D9-8965283D9159}</x14:id>
        </ext>
      </extLst>
    </cfRule>
  </conditionalFormatting>
  <dataValidations count="1">
    <dataValidation type="list" allowBlank="1" showInputMessage="1" showErrorMessage="1" sqref="D2:D16">
      <formula1>"Online,Offline"</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Button 2">
              <controlPr defaultSize="0" print="0" autoFill="0" autoPict="0" macro="[0]!data_formating">
                <anchor moveWithCells="1">
                  <from>
                    <xdr:col>14</xdr:col>
                    <xdr:colOff>330200</xdr:colOff>
                    <xdr:row>14</xdr:row>
                    <xdr:rowOff>171450</xdr:rowOff>
                  </from>
                  <to>
                    <xdr:col>16</xdr:col>
                    <xdr:colOff>406400</xdr:colOff>
                    <xdr:row>17</xdr:row>
                    <xdr:rowOff>19050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579CC31B-F2A9-4F8F-AECF-DDE50BAECDAA}">
            <x14:dataBar minLength="0" maxLength="100" border="1" negativeBarBorderColorSameAsPositive="0">
              <x14:cfvo type="autoMin"/>
              <x14:cfvo type="autoMax"/>
              <x14:borderColor rgb="FF63C384"/>
              <x14:negativeFillColor rgb="FFFF0000"/>
              <x14:negativeBorderColor rgb="FFFF0000"/>
              <x14:axisColor rgb="FF000000"/>
            </x14:dataBar>
          </x14:cfRule>
          <xm:sqref>N5:N11</xm:sqref>
        </x14:conditionalFormatting>
        <x14:conditionalFormatting xmlns:xm="http://schemas.microsoft.com/office/excel/2006/main">
          <x14:cfRule type="dataBar" id="{F1626623-35EA-4BE0-BD5A-CE5DDEC3E0D3}">
            <x14:dataBar minLength="0" maxLength="100" gradient="0">
              <x14:cfvo type="autoMin"/>
              <x14:cfvo type="autoMax"/>
              <x14:negativeFillColor rgb="FFFF0000"/>
              <x14:axisColor rgb="FF000000"/>
            </x14:dataBar>
          </x14:cfRule>
          <xm:sqref>K2:K16</xm:sqref>
        </x14:conditionalFormatting>
        <x14:conditionalFormatting xmlns:xm="http://schemas.microsoft.com/office/excel/2006/main">
          <x14:cfRule type="dataBar" id="{0BDFEA56-FE91-4E3B-A8FA-57ADF7D1FB50}">
            <x14:dataBar minLength="0" maxLength="100" gradient="0">
              <x14:cfvo type="autoMin"/>
              <x14:cfvo type="autoMax"/>
              <x14:negativeFillColor rgb="FFFF0000"/>
              <x14:axisColor rgb="FF000000"/>
            </x14:dataBar>
          </x14:cfRule>
          <xm:sqref>Q3:Q11</xm:sqref>
        </x14:conditionalFormatting>
        <x14:conditionalFormatting xmlns:xm="http://schemas.microsoft.com/office/excel/2006/main">
          <x14:cfRule type="dataBar" id="{38760627-D9C6-4EEF-85FA-72648E72B263}">
            <x14:dataBar minLength="0" maxLength="100" border="1" negativeBarBorderColorSameAsPositive="0">
              <x14:cfvo type="autoMin"/>
              <x14:cfvo type="autoMax"/>
              <x14:borderColor rgb="FFD6007B"/>
              <x14:negativeFillColor rgb="FFFF0000"/>
              <x14:negativeBorderColor rgb="FFFF0000"/>
              <x14:axisColor rgb="FF000000"/>
            </x14:dataBar>
          </x14:cfRule>
          <xm:sqref>L2:L16</xm:sqref>
        </x14:conditionalFormatting>
        <x14:conditionalFormatting xmlns:xm="http://schemas.microsoft.com/office/excel/2006/main">
          <x14:cfRule type="dataBar" id="{75E5AE13-79A9-49D0-B0D9-8965283D9159}">
            <x14:dataBar minLength="0" maxLength="100" border="1" negativeBarBorderColorSameAsPositive="0">
              <x14:cfvo type="autoMin"/>
              <x14:cfvo type="autoMax"/>
              <x14:borderColor rgb="FF63C384"/>
              <x14:negativeFillColor rgb="FFFF0000"/>
              <x14:negativeBorderColor rgb="FFFF0000"/>
              <x14:axisColor rgb="FF000000"/>
            </x14:dataBar>
          </x14:cfRule>
          <xm:sqref>I2:I16</xm:sqref>
        </x14:conditionalFormatting>
        <x14:conditionalFormatting xmlns:xm="http://schemas.microsoft.com/office/excel/2006/main">
          <x14:cfRule type="containsText" priority="17" operator="containsText" id="{01A51905-57D5-40FE-BECA-BB4BC98D0EAE}">
            <xm:f>NOT(ISERROR(SEARCH($C$6,C2)))</xm:f>
            <xm:f>$C$6</xm:f>
            <x14:dxf>
              <font>
                <color rgb="FF9C0006"/>
              </font>
              <fill>
                <patternFill>
                  <bgColor rgb="FFFFC7CE"/>
                </patternFill>
              </fill>
            </x14:dxf>
          </x14:cfRule>
          <x14:cfRule type="containsText" priority="18" operator="containsText" id="{187B08BA-FC20-439C-B2D6-2C13CCF3CB55}">
            <xm:f>NOT(ISERROR(SEARCH($C$12,C2)))</xm:f>
            <xm:f>$C$12</xm:f>
            <x14:dxf>
              <font>
                <color rgb="FF9C0006"/>
              </font>
              <fill>
                <patternFill>
                  <bgColor rgb="FFFFC7CE"/>
                </patternFill>
              </fill>
            </x14:dxf>
          </x14:cfRule>
          <x14:cfRule type="containsText" priority="19" operator="containsText" id="{A8777424-34A8-4AAA-A13C-7545E13BD09B}">
            <xm:f>NOT(ISERROR(SEARCH($C$5,C2)))</xm:f>
            <xm:f>$C$5</xm:f>
            <x14:dxf>
              <font>
                <color rgb="FF9C0006"/>
              </font>
              <fill>
                <patternFill>
                  <bgColor rgb="FFFFC7CE"/>
                </patternFill>
              </fill>
            </x14:dxf>
          </x14:cfRule>
          <xm:sqref>C2:C16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selection activeCell="H10" sqref="H10"/>
    </sheetView>
  </sheetViews>
  <sheetFormatPr defaultRowHeight="14.5" x14ac:dyDescent="0.35"/>
  <cols>
    <col min="3" max="3" width="13.453125" customWidth="1"/>
    <col min="4" max="4" width="10.453125" customWidth="1"/>
    <col min="5" max="5" width="15.36328125" customWidth="1"/>
    <col min="6" max="6" width="15.7265625" customWidth="1"/>
    <col min="9" max="9" width="14.1796875" customWidth="1"/>
    <col min="10" max="10" width="15.7265625" customWidth="1"/>
  </cols>
  <sheetData>
    <row r="1" spans="1:9" x14ac:dyDescent="0.35">
      <c r="A1" s="3" t="s">
        <v>15</v>
      </c>
      <c r="B1" s="3" t="s">
        <v>24</v>
      </c>
      <c r="C1" s="4">
        <v>40211</v>
      </c>
      <c r="D1" s="3">
        <v>385383069</v>
      </c>
      <c r="E1" s="5">
        <v>40255</v>
      </c>
      <c r="F1" s="3">
        <v>2269</v>
      </c>
      <c r="G1" s="3">
        <v>109.28</v>
      </c>
      <c r="H1" s="3">
        <v>35.840000000000003</v>
      </c>
      <c r="I1" s="11">
        <v>247956.3</v>
      </c>
    </row>
    <row r="2" spans="1:9" x14ac:dyDescent="0.35">
      <c r="A2" s="6" t="s">
        <v>21</v>
      </c>
      <c r="B2" s="6" t="s">
        <v>28</v>
      </c>
      <c r="C2" s="7">
        <v>40656</v>
      </c>
      <c r="D2" s="6">
        <v>135425221</v>
      </c>
      <c r="E2" s="8">
        <v>40660</v>
      </c>
      <c r="F2" s="6">
        <v>4187</v>
      </c>
      <c r="G2" s="6">
        <v>668.27</v>
      </c>
      <c r="H2" s="6">
        <v>502.54</v>
      </c>
      <c r="I2" s="10">
        <v>2798046.5</v>
      </c>
    </row>
    <row r="3" spans="1:9" x14ac:dyDescent="0.35">
      <c r="A3" s="3" t="s">
        <v>15</v>
      </c>
      <c r="B3" s="3" t="s">
        <v>28</v>
      </c>
      <c r="C3" s="4">
        <v>46229</v>
      </c>
      <c r="D3" s="3">
        <v>512878119</v>
      </c>
      <c r="E3" s="5">
        <v>40789</v>
      </c>
      <c r="F3" s="3">
        <v>888</v>
      </c>
      <c r="G3" s="3">
        <v>109.28</v>
      </c>
      <c r="H3" s="3">
        <v>35.840000000000003</v>
      </c>
      <c r="I3" s="11">
        <v>97040.6</v>
      </c>
    </row>
    <row r="4" spans="1:9" x14ac:dyDescent="0.35">
      <c r="A4" s="6" t="s">
        <v>15</v>
      </c>
      <c r="B4" s="6" t="s">
        <v>16</v>
      </c>
      <c r="C4" s="7">
        <v>41000</v>
      </c>
      <c r="D4" s="6">
        <v>320009267</v>
      </c>
      <c r="E4" s="8">
        <v>41037</v>
      </c>
      <c r="F4" s="6">
        <v>6708</v>
      </c>
      <c r="G4" s="6">
        <v>651.21</v>
      </c>
      <c r="H4" s="6">
        <v>524.96</v>
      </c>
      <c r="I4" s="10">
        <v>4368316.7</v>
      </c>
    </row>
  </sheetData>
  <conditionalFormatting sqref="C1:C4">
    <cfRule type="timePeriod" dxfId="120" priority="9" timePeriod="lastMonth">
      <formula>AND(MONTH(C1)=MONTH(EDATE(TODAY(),0-1)),YEAR(C1)=YEAR(EDATE(TODAY(),0-1)))</formula>
    </cfRule>
  </conditionalFormatting>
  <conditionalFormatting sqref="C1:C4">
    <cfRule type="timePeriod" dxfId="119" priority="8" timePeriod="thisMonth">
      <formula>AND(MONTH(C1)=MONTH(TODAY()),YEAR(C1)=YEAR(TODAY()))</formula>
    </cfRule>
  </conditionalFormatting>
  <conditionalFormatting sqref="E1:E4">
    <cfRule type="top10" dxfId="118" priority="7" rank="5"/>
  </conditionalFormatting>
  <conditionalFormatting sqref="G1:G4">
    <cfRule type="cellIs" dxfId="117" priority="1" operator="lessThan">
      <formula>100</formula>
    </cfRule>
    <cfRule type="cellIs" dxfId="116" priority="2" operator="lessThan">
      <formula>100</formula>
    </cfRule>
    <cfRule type="cellIs" dxfId="115" priority="6" operator="between">
      <formula>100</formula>
      <formula>200</formula>
    </cfRule>
  </conditionalFormatting>
  <conditionalFormatting sqref="H1:H4">
    <cfRule type="dataBar" priority="5">
      <dataBar>
        <cfvo type="min"/>
        <cfvo type="max"/>
        <color rgb="FF63C384"/>
      </dataBar>
      <extLst>
        <ext xmlns:x14="http://schemas.microsoft.com/office/spreadsheetml/2009/9/main" uri="{B025F937-C7B1-47D3-B67F-A62EFF666E3E}">
          <x14:id>{A32A231B-CF39-4114-822C-BD2F8916251B}</x14:id>
        </ext>
      </extLst>
    </cfRule>
  </conditionalFormatting>
  <conditionalFormatting sqref="I1:I4">
    <cfRule type="dataBar" priority="4">
      <dataBar>
        <cfvo type="min"/>
        <cfvo type="max"/>
        <color rgb="FFD6007B"/>
      </dataBar>
      <extLst>
        <ext xmlns:x14="http://schemas.microsoft.com/office/spreadsheetml/2009/9/main" uri="{B025F937-C7B1-47D3-B67F-A62EFF666E3E}">
          <x14:id>{D356E41D-EF14-4303-A3D5-C925BA41E727}</x14:id>
        </ext>
      </extLst>
    </cfRule>
  </conditionalFormatting>
  <conditionalFormatting sqref="F1:F4">
    <cfRule type="dataBar" priority="3">
      <dataBar>
        <cfvo type="min"/>
        <cfvo type="max"/>
        <color rgb="FF63C384"/>
      </dataBar>
      <extLst>
        <ext xmlns:x14="http://schemas.microsoft.com/office/spreadsheetml/2009/9/main" uri="{B025F937-C7B1-47D3-B67F-A62EFF666E3E}">
          <x14:id>{6A73D7AD-D28E-4A05-9537-2C1741850D6A}</x14:id>
        </ext>
      </extLst>
    </cfRule>
  </conditionalFormatting>
  <dataValidations count="1">
    <dataValidation type="list" allowBlank="1" showInputMessage="1" showErrorMessage="1" sqref="A1:A4">
      <formula1>"Online,Offline"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32A231B-CF39-4114-822C-BD2F8916251B}">
            <x14:dataBar minLength="0" maxLength="100" gradient="0">
              <x14:cfvo type="autoMin"/>
              <x14:cfvo type="autoMax"/>
              <x14:negativeFillColor rgb="FFFF0000"/>
              <x14:axisColor rgb="FF000000"/>
            </x14:dataBar>
          </x14:cfRule>
          <xm:sqref>H1:H4</xm:sqref>
        </x14:conditionalFormatting>
        <x14:conditionalFormatting xmlns:xm="http://schemas.microsoft.com/office/excel/2006/main">
          <x14:cfRule type="dataBar" id="{D356E41D-EF14-4303-A3D5-C925BA41E727}">
            <x14:dataBar minLength="0" maxLength="100" border="1" negativeBarBorderColorSameAsPositive="0">
              <x14:cfvo type="autoMin"/>
              <x14:cfvo type="autoMax"/>
              <x14:borderColor rgb="FFD6007B"/>
              <x14:negativeFillColor rgb="FFFF0000"/>
              <x14:negativeBorderColor rgb="FFFF0000"/>
              <x14:axisColor rgb="FF000000"/>
            </x14:dataBar>
          </x14:cfRule>
          <xm:sqref>I1:I4</xm:sqref>
        </x14:conditionalFormatting>
        <x14:conditionalFormatting xmlns:xm="http://schemas.microsoft.com/office/excel/2006/main">
          <x14:cfRule type="dataBar" id="{6A73D7AD-D28E-4A05-9537-2C1741850D6A}">
            <x14:dataBar minLength="0" maxLength="100" border="1" negativeBarBorderColorSameAsPositive="0">
              <x14:cfvo type="autoMin"/>
              <x14:cfvo type="autoMax"/>
              <x14:borderColor rgb="FF63C384"/>
              <x14:negativeFillColor rgb="FFFF0000"/>
              <x14:negativeBorderColor rgb="FFFF0000"/>
              <x14:axisColor rgb="FF000000"/>
            </x14:dataBar>
          </x14:cfRule>
          <xm:sqref>F1:F4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
  <sheetViews>
    <sheetView tabSelected="1" zoomScaleNormal="100" workbookViewId="0">
      <selection activeCell="A4" sqref="A4"/>
    </sheetView>
  </sheetViews>
  <sheetFormatPr defaultRowHeight="14.5" x14ac:dyDescent="0.35"/>
  <cols>
    <col min="1" max="1" width="32.36328125" customWidth="1"/>
    <col min="2" max="2" width="15.54296875" customWidth="1"/>
    <col min="3" max="3" width="20.08984375" customWidth="1"/>
    <col min="4" max="4" width="6.7265625" customWidth="1"/>
    <col min="5" max="5" width="20.08984375" bestFit="1" customWidth="1"/>
    <col min="6" max="6" width="9.81640625" bestFit="1" customWidth="1"/>
    <col min="7" max="7" width="8.81640625" bestFit="1" customWidth="1"/>
    <col min="8" max="8" width="20.36328125" bestFit="1" customWidth="1"/>
    <col min="9" max="9" width="24.90625" bestFit="1" customWidth="1"/>
  </cols>
  <sheetData>
    <row r="3" spans="1:3" x14ac:dyDescent="0.35">
      <c r="A3" s="13" t="s">
        <v>46</v>
      </c>
      <c r="B3" t="s">
        <v>49</v>
      </c>
      <c r="C3" t="s">
        <v>50</v>
      </c>
    </row>
    <row r="4" spans="1:3" x14ac:dyDescent="0.35">
      <c r="A4" s="14" t="s">
        <v>51</v>
      </c>
      <c r="B4" s="15">
        <v>4187</v>
      </c>
      <c r="C4" s="15">
        <v>2798046.5</v>
      </c>
    </row>
    <row r="5" spans="1:3" x14ac:dyDescent="0.35">
      <c r="A5" s="14" t="s">
        <v>48</v>
      </c>
      <c r="B5" s="15">
        <v>4187</v>
      </c>
      <c r="C5" s="15">
        <v>2798046.5</v>
      </c>
    </row>
  </sheetData>
  <conditionalFormatting pivot="1" sqref="C4:C5">
    <cfRule type="dataBar" priority="1">
      <dataBar>
        <cfvo type="min"/>
        <cfvo type="max"/>
        <color rgb="FFFF555A"/>
      </dataBar>
      <extLst>
        <ext xmlns:x14="http://schemas.microsoft.com/office/spreadsheetml/2009/9/main" uri="{B025F937-C7B1-47D3-B67F-A62EFF666E3E}">
          <x14:id>{8250DCED-119D-402C-BBB8-252B17E6D417}</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8250DCED-119D-402C-BBB8-252B17E6D417}">
            <x14:dataBar minLength="0" maxLength="100" border="1" negativeBarBorderColorSameAsPositive="0">
              <x14:cfvo type="autoMin"/>
              <x14:cfvo type="autoMax"/>
              <x14:borderColor rgb="FFFF555A"/>
              <x14:negativeFillColor rgb="FFFF0000"/>
              <x14:negativeBorderColor rgb="FFFF0000"/>
              <x14:axisColor rgb="FF000000"/>
            </x14:dataBar>
          </x14:cfRule>
          <xm:sqref>C4:C5</xm:sqref>
        </x14:conditionalFormatting>
      </x14:conditionalFormatting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2:N11"/>
  <sheetViews>
    <sheetView topLeftCell="D1" zoomScaleNormal="100" workbookViewId="0">
      <selection activeCell="P5" sqref="P5"/>
    </sheetView>
  </sheetViews>
  <sheetFormatPr defaultRowHeight="14.5" x14ac:dyDescent="0.35"/>
  <cols>
    <col min="1" max="1" width="32.36328125" customWidth="1"/>
    <col min="2" max="2" width="15.26953125" customWidth="1"/>
    <col min="3" max="3" width="6.26953125" customWidth="1"/>
    <col min="4" max="4" width="6.7265625" customWidth="1"/>
    <col min="5" max="5" width="10.7265625" customWidth="1"/>
    <col min="6" max="7" width="4.81640625" customWidth="1"/>
    <col min="8" max="8" width="7.7265625" customWidth="1"/>
    <col min="9" max="9" width="4.81640625" customWidth="1"/>
    <col min="10" max="10" width="32.36328125" customWidth="1"/>
    <col min="11" max="11" width="6.453125" style="16" customWidth="1"/>
    <col min="12" max="12" width="6.26953125" customWidth="1"/>
    <col min="13" max="13" width="6.7265625" customWidth="1"/>
    <col min="14" max="14" width="10.7265625" bestFit="1" customWidth="1"/>
  </cols>
  <sheetData>
    <row r="2" spans="10:14" x14ac:dyDescent="0.35">
      <c r="J2" s="13" t="s">
        <v>49</v>
      </c>
      <c r="K2"/>
    </row>
    <row r="3" spans="10:14" x14ac:dyDescent="0.35">
      <c r="K3" s="16" t="s">
        <v>21</v>
      </c>
      <c r="L3" t="s">
        <v>15</v>
      </c>
      <c r="M3" t="s">
        <v>47</v>
      </c>
      <c r="N3" t="s">
        <v>48</v>
      </c>
    </row>
    <row r="4" spans="10:14" x14ac:dyDescent="0.35">
      <c r="J4" s="14" t="s">
        <v>12</v>
      </c>
      <c r="K4" s="17"/>
      <c r="L4" s="15">
        <v>6708</v>
      </c>
      <c r="M4" s="15"/>
      <c r="N4" s="15">
        <v>6708</v>
      </c>
    </row>
    <row r="5" spans="10:14" x14ac:dyDescent="0.35">
      <c r="J5" s="14" t="s">
        <v>18</v>
      </c>
      <c r="K5" s="17">
        <v>10071</v>
      </c>
      <c r="L5" s="15">
        <v>2924</v>
      </c>
      <c r="M5" s="15"/>
      <c r="N5" s="15">
        <v>12995</v>
      </c>
    </row>
    <row r="6" spans="10:14" x14ac:dyDescent="0.35">
      <c r="J6" s="14" t="s">
        <v>25</v>
      </c>
      <c r="K6" s="17">
        <v>4187</v>
      </c>
      <c r="L6" s="15"/>
      <c r="M6" s="15"/>
      <c r="N6" s="15">
        <v>4187</v>
      </c>
    </row>
    <row r="7" spans="10:14" x14ac:dyDescent="0.35">
      <c r="J7" s="14" t="s">
        <v>29</v>
      </c>
      <c r="K7" s="17"/>
      <c r="L7" s="15">
        <v>3942</v>
      </c>
      <c r="M7" s="15"/>
      <c r="N7" s="15">
        <v>3942</v>
      </c>
    </row>
    <row r="8" spans="10:14" x14ac:dyDescent="0.35">
      <c r="J8" s="14" t="s">
        <v>33</v>
      </c>
      <c r="K8" s="17"/>
      <c r="L8" s="15">
        <v>2021</v>
      </c>
      <c r="M8" s="15"/>
      <c r="N8" s="15">
        <v>2021</v>
      </c>
    </row>
    <row r="9" spans="10:14" x14ac:dyDescent="0.35">
      <c r="J9" s="14" t="s">
        <v>36</v>
      </c>
      <c r="K9" s="17">
        <v>962</v>
      </c>
      <c r="L9" s="15">
        <v>4370</v>
      </c>
      <c r="M9" s="15"/>
      <c r="N9" s="15">
        <v>5332</v>
      </c>
    </row>
    <row r="10" spans="10:14" x14ac:dyDescent="0.35">
      <c r="J10" s="14" t="s">
        <v>47</v>
      </c>
      <c r="K10" s="17"/>
      <c r="L10" s="15"/>
      <c r="M10" s="15"/>
      <c r="N10" s="15"/>
    </row>
    <row r="11" spans="10:14" x14ac:dyDescent="0.35">
      <c r="J11" s="14" t="s">
        <v>48</v>
      </c>
      <c r="K11" s="17">
        <v>15220</v>
      </c>
      <c r="L11" s="15">
        <v>19965</v>
      </c>
      <c r="M11" s="15"/>
      <c r="N11" s="15">
        <v>35185</v>
      </c>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last_practice</vt:lpstr>
      <vt:lpstr>Sheet1</vt:lpstr>
      <vt:lpstr>Sheet4</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USMAN</dc:creator>
  <cp:lastModifiedBy>SC</cp:lastModifiedBy>
  <dcterms:created xsi:type="dcterms:W3CDTF">2026-07-02T14:46:42Z</dcterms:created>
  <dcterms:modified xsi:type="dcterms:W3CDTF">2026-07-02T20:41:42Z</dcterms:modified>
</cp:coreProperties>
</file>